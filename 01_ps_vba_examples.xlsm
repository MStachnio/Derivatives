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021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/Users/Michal/Dropbox/UNISG/12. Derivatives/1. Modelling/3. Exercise/"/>
    </mc:Choice>
  </mc:AlternateContent>
  <bookViews>
    <workbookView xWindow="12900" yWindow="460" windowWidth="17620" windowHeight="16380" activeTab="1" xr2:uid="{00000000-000D-0000-FFFF-FFFF00000000}"/>
  </bookViews>
  <sheets>
    <sheet name="Overview" sheetId="62" r:id="rId1"/>
    <sheet name="Example1" sheetId="58" r:id="rId2"/>
    <sheet name="Example2" sheetId="61" r:id="rId3"/>
  </sheets>
  <functionGroups builtInGroupCount="19"/>
  <calcPr calcId="171027"/>
</workbook>
</file>

<file path=xl/calcChain.xml><?xml version="1.0" encoding="utf-8"?>
<calcChain xmlns="http://schemas.openxmlformats.org/spreadsheetml/2006/main">
  <c r="D22" i="61" l="1"/>
  <c r="E21" i="61" s="1"/>
  <c r="C22" i="61"/>
  <c r="E20" i="61" s="1"/>
  <c r="C21" i="61"/>
  <c r="D20" i="61" s="1"/>
  <c r="E22" i="61"/>
  <c r="D21" i="61"/>
  <c r="C20" i="61"/>
  <c r="E15" i="61"/>
  <c r="E14" i="61"/>
  <c r="D14" i="61"/>
  <c r="E11" i="61"/>
  <c r="G22" i="61"/>
  <c r="G8" i="61"/>
</calcChain>
</file>

<file path=xl/sharedStrings.xml><?xml version="1.0" encoding="utf-8"?>
<sst xmlns="http://schemas.openxmlformats.org/spreadsheetml/2006/main" count="50" uniqueCount="24">
  <si>
    <t>For VBA code see Macro Editor (Alt+F11)</t>
  </si>
  <si>
    <t xml:space="preserve"> </t>
  </si>
  <si>
    <t xml:space="preserve">e </t>
  </si>
  <si>
    <t xml:space="preserve">w </t>
  </si>
  <si>
    <t xml:space="preserve">Portfolio </t>
  </si>
  <si>
    <t xml:space="preserve">Asset Data </t>
  </si>
  <si>
    <t xml:space="preserve">Exp Ret </t>
  </si>
  <si>
    <t xml:space="preserve">StDevRet </t>
  </si>
  <si>
    <t xml:space="preserve">weights </t>
  </si>
  <si>
    <t xml:space="preserve">ExpRet </t>
  </si>
  <si>
    <t xml:space="preserve">A </t>
  </si>
  <si>
    <t xml:space="preserve">B </t>
  </si>
  <si>
    <t xml:space="preserve">C </t>
  </si>
  <si>
    <t xml:space="preserve">Correlations </t>
  </si>
  <si>
    <t xml:space="preserve">VCV Matrix V </t>
  </si>
  <si>
    <t xml:space="preserve">Variance </t>
  </si>
  <si>
    <t>Introduction to VBA: Examples</t>
  </si>
  <si>
    <t>Example 1: Generating random numbers, N(0,1)</t>
  </si>
  <si>
    <t xml:space="preserve">Example 2: Portfolio Risk &amp; Return </t>
  </si>
  <si>
    <t>A</t>
  </si>
  <si>
    <t>B</t>
  </si>
  <si>
    <t>C</t>
  </si>
  <si>
    <r>
      <t xml:space="preserve"> =w</t>
    </r>
    <r>
      <rPr>
        <vertAlign val="superscript"/>
        <sz val="10"/>
        <rFont val="Arial"/>
        <family val="2"/>
      </rPr>
      <t>T</t>
    </r>
    <r>
      <rPr>
        <sz val="10"/>
        <rFont val="Arial"/>
        <family val="2"/>
      </rPr>
      <t xml:space="preserve">Vw </t>
    </r>
  </si>
  <si>
    <t>Prof. Dr. Manuel Ammann | Spring 2018 | University of St. Gallen 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</si>
</sst>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7" x14ac:knownFonts="1">
    <font>
      <sz val="10"/>
      <name val="Arial"/>
    </font>
    <font>
      <sz val="10"/>
      <name val="Arial"/>
      <family val="2"/>
    </font>
    <font>
      <b/>
      <sz val="10"/>
      <color indexed="8"/>
      <name val="Calibri"/>
      <family val="2"/>
    </font>
    <font>
      <b/>
      <sz val="14"/>
      <color indexed="8"/>
      <name val="Calibri"/>
      <family val="2"/>
    </font>
    <font>
      <b/>
      <sz val="20"/>
      <color indexed="8"/>
      <name val="Calibri"/>
      <family val="2"/>
    </font>
    <font>
      <b/>
      <sz val="14"/>
      <color theme="1"/>
      <name val="Calibri"/>
      <family val="2"/>
      <scheme val="minor"/>
    </font>
    <font>
      <vertAlign val="superscript"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Border="1"/>
    <xf numFmtId="0" fontId="0" fillId="2" borderId="0" xfId="0" applyFill="1"/>
    <xf numFmtId="0" fontId="5" fillId="2" borderId="0" xfId="0" applyFont="1" applyFill="1"/>
    <xf numFmtId="0" fontId="0" fillId="2" borderId="0" xfId="0" applyFill="1" applyBorder="1"/>
    <xf numFmtId="0" fontId="0" fillId="2" borderId="1" xfId="0" applyFill="1" applyBorder="1"/>
    <xf numFmtId="0" fontId="2" fillId="2" borderId="1" xfId="0" applyFont="1" applyFill="1" applyBorder="1"/>
    <xf numFmtId="0" fontId="2" fillId="2" borderId="0" xfId="0" applyFont="1" applyFill="1"/>
    <xf numFmtId="9" fontId="0" fillId="2" borderId="1" xfId="0" applyNumberFormat="1" applyFill="1" applyBorder="1"/>
    <xf numFmtId="10" fontId="0" fillId="2" borderId="0" xfId="0" applyNumberFormat="1" applyFill="1"/>
    <xf numFmtId="0" fontId="4" fillId="2" borderId="0" xfId="0" applyFont="1" applyFill="1" applyBorder="1"/>
    <xf numFmtId="9" fontId="0" fillId="3" borderId="1" xfId="0" applyNumberFormat="1" applyFill="1" applyBorder="1"/>
    <xf numFmtId="10" fontId="0" fillId="3" borderId="1" xfId="0" applyNumberFormat="1" applyFill="1" applyBorder="1"/>
    <xf numFmtId="0" fontId="0" fillId="3" borderId="1" xfId="0" applyFill="1" applyBorder="1"/>
    <xf numFmtId="0" fontId="1" fillId="2" borderId="1" xfId="0" applyFont="1" applyFill="1" applyBorder="1"/>
    <xf numFmtId="0" fontId="0" fillId="2" borderId="2" xfId="0" applyFill="1" applyBorder="1"/>
    <xf numFmtId="164" fontId="3" fillId="2" borderId="0" xfId="0" applyNumberFormat="1" applyFont="1" applyFill="1" applyBorder="1"/>
    <xf numFmtId="164" fontId="0" fillId="0" borderId="0" xfId="0" applyNumberFormat="1" applyBorder="1"/>
    <xf numFmtId="164" fontId="0" fillId="2" borderId="0" xfId="0" applyNumberFormat="1" applyFill="1"/>
    <xf numFmtId="0" fontId="1" fillId="2" borderId="0" xfId="0" applyFont="1" applyFill="1" applyBorder="1"/>
    <xf numFmtId="164" fontId="1" fillId="2" borderId="0" xfId="0" applyNumberFormat="1" applyFon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749300</xdr:colOff>
          <xdr:row>3</xdr:row>
          <xdr:rowOff>12700</xdr:rowOff>
        </xdr:from>
        <xdr:to>
          <xdr:col>3</xdr:col>
          <xdr:colOff>520700</xdr:colOff>
          <xdr:row>5</xdr:row>
          <xdr:rowOff>63500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CDA50301-4C81-F345-BE63-685038F62A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charset="0"/>
                  <a:cs typeface="Arial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3"/>
  <dimension ref="A1:L18"/>
  <sheetViews>
    <sheetView workbookViewId="0">
      <selection activeCell="A3" sqref="A3"/>
    </sheetView>
  </sheetViews>
  <sheetFormatPr baseColWidth="10" defaultColWidth="11.5" defaultRowHeight="13" x14ac:dyDescent="0.15"/>
  <cols>
    <col min="1" max="16384" width="11.5" style="2"/>
  </cols>
  <sheetData>
    <row r="1" spans="1:12" ht="26" x14ac:dyDescent="0.3">
      <c r="A1" s="10" t="s">
        <v>16</v>
      </c>
      <c r="B1" s="4"/>
      <c r="C1" s="4"/>
      <c r="D1" s="4"/>
      <c r="E1" s="4"/>
    </row>
    <row r="2" spans="1:12" x14ac:dyDescent="0.15">
      <c r="A2" s="19" t="s">
        <v>23</v>
      </c>
      <c r="B2" s="4"/>
      <c r="C2" s="4"/>
      <c r="D2" s="4"/>
      <c r="E2" s="4"/>
      <c r="L2" s="2" t="s">
        <v>1</v>
      </c>
    </row>
    <row r="3" spans="1:12" x14ac:dyDescent="0.15">
      <c r="A3" s="4"/>
      <c r="B3" s="4"/>
      <c r="C3" s="4"/>
      <c r="D3" s="4"/>
      <c r="E3" s="4"/>
    </row>
    <row r="4" spans="1:12" x14ac:dyDescent="0.15">
      <c r="A4" s="4"/>
      <c r="B4" s="4"/>
      <c r="C4" s="4"/>
      <c r="D4" s="4"/>
      <c r="E4" s="4"/>
      <c r="L4" s="2" t="s">
        <v>1</v>
      </c>
    </row>
    <row r="5" spans="1:12" x14ac:dyDescent="0.15">
      <c r="A5" s="4"/>
      <c r="B5" s="4"/>
      <c r="C5" s="4"/>
      <c r="D5" s="4"/>
      <c r="E5" s="4"/>
    </row>
    <row r="6" spans="1:12" x14ac:dyDescent="0.15">
      <c r="A6" s="4" t="s">
        <v>0</v>
      </c>
      <c r="B6" s="4"/>
      <c r="C6" s="4"/>
      <c r="D6" s="4"/>
      <c r="E6" s="4"/>
      <c r="L6" s="2" t="s">
        <v>1</v>
      </c>
    </row>
    <row r="7" spans="1:12" x14ac:dyDescent="0.15">
      <c r="L7" s="2" t="s">
        <v>1</v>
      </c>
    </row>
    <row r="8" spans="1:12" x14ac:dyDescent="0.15">
      <c r="L8" s="2" t="s">
        <v>1</v>
      </c>
    </row>
    <row r="9" spans="1:12" x14ac:dyDescent="0.15">
      <c r="L9" s="2" t="s">
        <v>1</v>
      </c>
    </row>
    <row r="10" spans="1:12" x14ac:dyDescent="0.15">
      <c r="L10" s="2" t="s">
        <v>1</v>
      </c>
    </row>
    <row r="12" spans="1:12" x14ac:dyDescent="0.15">
      <c r="L12" s="2" t="s">
        <v>1</v>
      </c>
    </row>
    <row r="13" spans="1:12" x14ac:dyDescent="0.15">
      <c r="L13" s="2" t="s">
        <v>1</v>
      </c>
    </row>
    <row r="14" spans="1:12" x14ac:dyDescent="0.15">
      <c r="L14" s="2" t="s">
        <v>1</v>
      </c>
    </row>
    <row r="16" spans="1:12" x14ac:dyDescent="0.15">
      <c r="L16" s="2" t="s">
        <v>1</v>
      </c>
    </row>
    <row r="17" spans="12:12" x14ac:dyDescent="0.15">
      <c r="L17" s="2" t="s">
        <v>1</v>
      </c>
    </row>
    <row r="18" spans="12:12" x14ac:dyDescent="0.15">
      <c r="L18" s="2" t="s">
        <v>1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A1:A103"/>
  <sheetViews>
    <sheetView tabSelected="1" workbookViewId="0">
      <selection activeCell="D6" sqref="D6"/>
    </sheetView>
  </sheetViews>
  <sheetFormatPr baseColWidth="10" defaultColWidth="11.5" defaultRowHeight="13" x14ac:dyDescent="0.15"/>
  <cols>
    <col min="1" max="1" width="11.5" style="18"/>
    <col min="2" max="16384" width="11.5" style="2"/>
  </cols>
  <sheetData>
    <row r="1" spans="1:1" ht="19" x14ac:dyDescent="0.25">
      <c r="A1" s="16" t="s">
        <v>17</v>
      </c>
    </row>
    <row r="2" spans="1:1" x14ac:dyDescent="0.15">
      <c r="A2" s="17" t="s">
        <v>0</v>
      </c>
    </row>
    <row r="4" spans="1:1" x14ac:dyDescent="0.15">
      <c r="A4" s="18">
        <v>0.41216454158809579</v>
      </c>
    </row>
    <row r="5" spans="1:1" x14ac:dyDescent="0.15">
      <c r="A5" s="18">
        <v>0.1779798948316286</v>
      </c>
    </row>
    <row r="6" spans="1:1" x14ac:dyDescent="0.15">
      <c r="A6" s="18">
        <v>-0.37212863096463417</v>
      </c>
    </row>
    <row r="7" spans="1:1" x14ac:dyDescent="0.15">
      <c r="A7" s="20">
        <v>1.2752904739587347</v>
      </c>
    </row>
    <row r="8" spans="1:1" x14ac:dyDescent="0.15">
      <c r="A8" s="18">
        <v>-0.70229692242173802</v>
      </c>
    </row>
    <row r="9" spans="1:1" x14ac:dyDescent="0.15">
      <c r="A9" s="18">
        <v>1.2158676395716459</v>
      </c>
    </row>
    <row r="10" spans="1:1" x14ac:dyDescent="0.15">
      <c r="A10" s="18">
        <v>-0.57176325262378347</v>
      </c>
    </row>
    <row r="11" spans="1:1" x14ac:dyDescent="0.15">
      <c r="A11" s="18">
        <v>1.7368095708542619</v>
      </c>
    </row>
    <row r="12" spans="1:1" x14ac:dyDescent="0.15">
      <c r="A12" s="18">
        <v>6.0152905050898507E-2</v>
      </c>
    </row>
    <row r="13" spans="1:1" x14ac:dyDescent="0.15">
      <c r="A13" s="18">
        <v>0.85692783347849333</v>
      </c>
    </row>
    <row r="14" spans="1:1" x14ac:dyDescent="0.15">
      <c r="A14" s="18">
        <v>-2.0228315119124565</v>
      </c>
    </row>
    <row r="15" spans="1:1" x14ac:dyDescent="0.15">
      <c r="A15" s="18">
        <v>0.87750231527295952</v>
      </c>
    </row>
    <row r="16" spans="1:1" x14ac:dyDescent="0.15">
      <c r="A16" s="18">
        <v>-0.34809991251378175</v>
      </c>
    </row>
    <row r="17" spans="1:1" x14ac:dyDescent="0.15">
      <c r="A17" s="18">
        <v>1.2337954324193166</v>
      </c>
    </row>
    <row r="18" spans="1:1" x14ac:dyDescent="0.15">
      <c r="A18" s="18">
        <v>-0.43384240471042407</v>
      </c>
    </row>
    <row r="19" spans="1:1" x14ac:dyDescent="0.15">
      <c r="A19" s="18">
        <v>0.74474515882850612</v>
      </c>
    </row>
    <row r="20" spans="1:1" x14ac:dyDescent="0.15">
      <c r="A20" s="18">
        <v>-8.1340033276437004E-2</v>
      </c>
    </row>
    <row r="21" spans="1:1" x14ac:dyDescent="0.15">
      <c r="A21" s="18">
        <v>-0.41260329571274174</v>
      </c>
    </row>
    <row r="22" spans="1:1" x14ac:dyDescent="0.15">
      <c r="A22" s="18">
        <v>-0.64851568972091755</v>
      </c>
    </row>
    <row r="23" spans="1:1" x14ac:dyDescent="0.15">
      <c r="A23" s="18">
        <v>-0.12252579849182528</v>
      </c>
    </row>
    <row r="24" spans="1:1" x14ac:dyDescent="0.15">
      <c r="A24" s="18">
        <v>-1.1021420402581799</v>
      </c>
    </row>
    <row r="25" spans="1:1" x14ac:dyDescent="0.15">
      <c r="A25" s="18">
        <v>-0.36789556222474989</v>
      </c>
    </row>
    <row r="26" spans="1:1" x14ac:dyDescent="0.15">
      <c r="A26" s="18">
        <v>-1.3284568393345524</v>
      </c>
    </row>
    <row r="27" spans="1:1" x14ac:dyDescent="0.15">
      <c r="A27" s="18">
        <v>-1.9091962672475138</v>
      </c>
    </row>
    <row r="28" spans="1:1" x14ac:dyDescent="0.15">
      <c r="A28" s="18">
        <v>-0.44462392411309848</v>
      </c>
    </row>
    <row r="29" spans="1:1" x14ac:dyDescent="0.15">
      <c r="A29" s="18">
        <v>0.69869322475764728</v>
      </c>
    </row>
    <row r="30" spans="1:1" x14ac:dyDescent="0.15">
      <c r="A30" s="18">
        <v>0.68391748232883587</v>
      </c>
    </row>
    <row r="31" spans="1:1" x14ac:dyDescent="0.15">
      <c r="A31" s="18">
        <v>1.1852030230969401</v>
      </c>
    </row>
    <row r="32" spans="1:1" x14ac:dyDescent="0.15">
      <c r="A32" s="18">
        <v>-1.6027434588852842</v>
      </c>
    </row>
    <row r="33" spans="1:1" x14ac:dyDescent="0.15">
      <c r="A33" s="18">
        <v>-0.43915371224058114</v>
      </c>
    </row>
    <row r="34" spans="1:1" x14ac:dyDescent="0.15">
      <c r="A34" s="18">
        <v>1.0318445761298012</v>
      </c>
    </row>
    <row r="35" spans="1:1" x14ac:dyDescent="0.15">
      <c r="A35" s="18">
        <v>0.14168802658600466</v>
      </c>
    </row>
    <row r="36" spans="1:1" x14ac:dyDescent="0.15">
      <c r="A36" s="18">
        <v>-3.825459393283337E-2</v>
      </c>
    </row>
    <row r="37" spans="1:1" x14ac:dyDescent="0.15">
      <c r="A37" s="18">
        <v>-0.5420575125934689</v>
      </c>
    </row>
    <row r="38" spans="1:1" x14ac:dyDescent="0.15">
      <c r="A38" s="18">
        <v>-0.41387449743113047</v>
      </c>
    </row>
    <row r="39" spans="1:1" x14ac:dyDescent="0.15">
      <c r="A39" s="18">
        <v>0.18950443019526536</v>
      </c>
    </row>
    <row r="40" spans="1:1" x14ac:dyDescent="0.15">
      <c r="A40" s="18">
        <v>-0.26916744295254708</v>
      </c>
    </row>
    <row r="41" spans="1:1" x14ac:dyDescent="0.15">
      <c r="A41" s="18">
        <v>0.55650182493600797</v>
      </c>
    </row>
    <row r="42" spans="1:1" x14ac:dyDescent="0.15">
      <c r="A42" s="18">
        <v>7.9858354205496668E-2</v>
      </c>
    </row>
    <row r="43" spans="1:1" x14ac:dyDescent="0.15">
      <c r="A43" s="18">
        <v>0.87420653249287583</v>
      </c>
    </row>
    <row r="44" spans="1:1" x14ac:dyDescent="0.15">
      <c r="A44" s="18">
        <v>-0.22076732206557495</v>
      </c>
    </row>
    <row r="45" spans="1:1" x14ac:dyDescent="0.15">
      <c r="A45" s="18">
        <v>7.9585589730055181E-2</v>
      </c>
    </row>
    <row r="46" spans="1:1" x14ac:dyDescent="0.15">
      <c r="A46" s="18">
        <v>-1.2242992455150086</v>
      </c>
    </row>
    <row r="47" spans="1:1" x14ac:dyDescent="0.15">
      <c r="A47" s="18">
        <v>0.65339405889968605</v>
      </c>
    </row>
    <row r="48" spans="1:1" x14ac:dyDescent="0.15">
      <c r="A48" s="18">
        <v>-1.2995429203255369</v>
      </c>
    </row>
    <row r="49" spans="1:1" x14ac:dyDescent="0.15">
      <c r="A49" s="18">
        <v>2.4110580877630919E-2</v>
      </c>
    </row>
    <row r="50" spans="1:1" x14ac:dyDescent="0.15">
      <c r="A50" s="18">
        <v>-6.1857597153682324E-2</v>
      </c>
    </row>
    <row r="51" spans="1:1" x14ac:dyDescent="0.15">
      <c r="A51" s="18">
        <v>0.99173545108518701</v>
      </c>
    </row>
    <row r="52" spans="1:1" x14ac:dyDescent="0.15">
      <c r="A52" s="18">
        <v>1.5719001591443935</v>
      </c>
    </row>
    <row r="53" spans="1:1" x14ac:dyDescent="0.15">
      <c r="A53" s="18">
        <v>-1.1108040121882385</v>
      </c>
    </row>
    <row r="54" spans="1:1" x14ac:dyDescent="0.15">
      <c r="A54" s="18">
        <v>0.47241616484277338</v>
      </c>
    </row>
    <row r="55" spans="1:1" x14ac:dyDescent="0.15">
      <c r="A55" s="18">
        <v>-0.62377091225453973</v>
      </c>
    </row>
    <row r="56" spans="1:1" x14ac:dyDescent="0.15">
      <c r="A56" s="18">
        <v>4.2375412041045821E-2</v>
      </c>
    </row>
    <row r="57" spans="1:1" x14ac:dyDescent="0.15">
      <c r="A57" s="18">
        <v>-2.4326189517791539</v>
      </c>
    </row>
    <row r="58" spans="1:1" x14ac:dyDescent="0.15">
      <c r="A58" s="18">
        <v>-1.7899570618490481</v>
      </c>
    </row>
    <row r="59" spans="1:1" x14ac:dyDescent="0.15">
      <c r="A59" s="18">
        <v>1.0614081102241411</v>
      </c>
    </row>
    <row r="60" spans="1:1" x14ac:dyDescent="0.15">
      <c r="A60" s="18">
        <v>-0.96441740883416105</v>
      </c>
    </row>
    <row r="61" spans="1:1" x14ac:dyDescent="0.15">
      <c r="A61" s="18">
        <v>0.53987728933079404</v>
      </c>
    </row>
    <row r="62" spans="1:1" x14ac:dyDescent="0.15">
      <c r="A62" s="18">
        <v>0.11617006357899612</v>
      </c>
    </row>
    <row r="63" spans="1:1" x14ac:dyDescent="0.15">
      <c r="A63" s="18">
        <v>-0.6676808486481266</v>
      </c>
    </row>
    <row r="64" spans="1:1" x14ac:dyDescent="0.15">
      <c r="A64" s="18">
        <v>-0.98987869303414533</v>
      </c>
    </row>
    <row r="65" spans="1:1" x14ac:dyDescent="0.15">
      <c r="A65" s="18">
        <v>-0.4930173224544856</v>
      </c>
    </row>
    <row r="66" spans="1:1" x14ac:dyDescent="0.15">
      <c r="A66" s="18">
        <v>1.0627283991142193</v>
      </c>
    </row>
    <row r="67" spans="1:1" x14ac:dyDescent="0.15">
      <c r="A67" s="18">
        <v>0.39742248938878993</v>
      </c>
    </row>
    <row r="68" spans="1:1" x14ac:dyDescent="0.15">
      <c r="A68" s="18">
        <v>-1.1780179746652679</v>
      </c>
    </row>
    <row r="69" spans="1:1" x14ac:dyDescent="0.15">
      <c r="A69" s="18">
        <v>-1.5977332562608599</v>
      </c>
    </row>
    <row r="70" spans="1:1" x14ac:dyDescent="0.15">
      <c r="A70" s="18">
        <v>0.45650892960136552</v>
      </c>
    </row>
    <row r="71" spans="1:1" x14ac:dyDescent="0.15">
      <c r="A71" s="18">
        <v>-0.56859270532857042</v>
      </c>
    </row>
    <row r="72" spans="1:1" x14ac:dyDescent="0.15">
      <c r="A72" s="18">
        <v>-1.0695891187303259</v>
      </c>
    </row>
    <row r="73" spans="1:1" x14ac:dyDescent="0.15">
      <c r="A73" s="18">
        <v>0.33616857593787253</v>
      </c>
    </row>
    <row r="74" spans="1:1" x14ac:dyDescent="0.15">
      <c r="A74" s="18">
        <v>-0.24595601474542886</v>
      </c>
    </row>
    <row r="75" spans="1:1" x14ac:dyDescent="0.15">
      <c r="A75" s="18">
        <v>-2.1864477164896536</v>
      </c>
    </row>
    <row r="76" spans="1:1" x14ac:dyDescent="0.15">
      <c r="A76" s="18">
        <v>0.11101045089694359</v>
      </c>
    </row>
    <row r="77" spans="1:1" x14ac:dyDescent="0.15">
      <c r="A77" s="18">
        <v>-0.18973185029974174</v>
      </c>
    </row>
    <row r="78" spans="1:1" x14ac:dyDescent="0.15">
      <c r="A78" s="18">
        <v>3.2074828281187309E-2</v>
      </c>
    </row>
    <row r="79" spans="1:1" x14ac:dyDescent="0.15">
      <c r="A79" s="18">
        <v>-0.69390681039721147</v>
      </c>
    </row>
    <row r="80" spans="1:1" x14ac:dyDescent="0.15">
      <c r="A80" s="18">
        <v>-0.92006801357543966</v>
      </c>
    </row>
    <row r="81" spans="1:1" x14ac:dyDescent="0.15">
      <c r="A81" s="18">
        <v>0.40166268504434199</v>
      </c>
    </row>
    <row r="82" spans="1:1" x14ac:dyDescent="0.15">
      <c r="A82" s="18">
        <v>5.5783525949909048E-2</v>
      </c>
    </row>
    <row r="83" spans="1:1" x14ac:dyDescent="0.15">
      <c r="A83" s="18">
        <v>-0.53170318971674513</v>
      </c>
    </row>
    <row r="84" spans="1:1" x14ac:dyDescent="0.15">
      <c r="A84" s="18">
        <v>-1.5424630948147009</v>
      </c>
    </row>
    <row r="85" spans="1:1" x14ac:dyDescent="0.15">
      <c r="A85" s="18">
        <v>3.4277828056981124E-2</v>
      </c>
    </row>
    <row r="86" spans="1:1" x14ac:dyDescent="0.15">
      <c r="A86" s="18">
        <v>4.1987569951921384E-2</v>
      </c>
    </row>
    <row r="87" spans="1:1" x14ac:dyDescent="0.15">
      <c r="A87" s="18">
        <v>0.33188022628776626</v>
      </c>
    </row>
    <row r="88" spans="1:1" x14ac:dyDescent="0.15">
      <c r="A88" s="18">
        <v>0.4017015803430134</v>
      </c>
    </row>
    <row r="89" spans="1:1" x14ac:dyDescent="0.15">
      <c r="A89" s="18">
        <v>-0.99123744849885842</v>
      </c>
    </row>
    <row r="90" spans="1:1" x14ac:dyDescent="0.15">
      <c r="A90" s="18">
        <v>-0.75213751136620943</v>
      </c>
    </row>
    <row r="91" spans="1:1" x14ac:dyDescent="0.15">
      <c r="A91" s="18">
        <v>0.4484403663539831</v>
      </c>
    </row>
    <row r="92" spans="1:1" x14ac:dyDescent="0.15">
      <c r="A92" s="18">
        <v>0.84387366758637061</v>
      </c>
    </row>
    <row r="93" spans="1:1" x14ac:dyDescent="0.15">
      <c r="A93" s="18">
        <v>-0.17845067665186959</v>
      </c>
    </row>
    <row r="94" spans="1:1" x14ac:dyDescent="0.15">
      <c r="A94" s="18">
        <v>-0.76097731000637225</v>
      </c>
    </row>
    <row r="95" spans="1:1" x14ac:dyDescent="0.15">
      <c r="A95" s="18">
        <v>0.55836220612113963</v>
      </c>
    </row>
    <row r="96" spans="1:1" x14ac:dyDescent="0.15">
      <c r="A96" s="18">
        <v>-1.215386718952016</v>
      </c>
    </row>
    <row r="97" spans="1:1" x14ac:dyDescent="0.15">
      <c r="A97" s="18">
        <v>0.49778651751327668</v>
      </c>
    </row>
    <row r="98" spans="1:1" x14ac:dyDescent="0.15">
      <c r="A98" s="18">
        <v>-0.55189351182065083</v>
      </c>
    </row>
    <row r="99" spans="1:1" x14ac:dyDescent="0.15">
      <c r="A99" s="18">
        <v>-9.0466793797713538E-2</v>
      </c>
    </row>
    <row r="100" spans="1:1" x14ac:dyDescent="0.15">
      <c r="A100" s="18">
        <v>1.6046853802199321</v>
      </c>
    </row>
    <row r="101" spans="1:1" x14ac:dyDescent="0.15">
      <c r="A101" s="18">
        <v>0.19818728601401281</v>
      </c>
    </row>
    <row r="102" spans="1:1" x14ac:dyDescent="0.15">
      <c r="A102" s="18">
        <v>0.72506866395437686</v>
      </c>
    </row>
    <row r="103" spans="1:1" x14ac:dyDescent="0.15">
      <c r="A103" s="18">
        <v>0.74449358316753156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WriteNumbers">
                <anchor moveWithCells="1" sizeWithCells="1">
                  <from>
                    <xdr:col>1</xdr:col>
                    <xdr:colOff>749300</xdr:colOff>
                    <xdr:row>3</xdr:row>
                    <xdr:rowOff>12700</xdr:rowOff>
                  </from>
                  <to>
                    <xdr:col>3</xdr:col>
                    <xdr:colOff>520700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5"/>
  <dimension ref="A1:H22"/>
  <sheetViews>
    <sheetView workbookViewId="0">
      <selection activeCell="F4" sqref="F4"/>
    </sheetView>
  </sheetViews>
  <sheetFormatPr baseColWidth="10" defaultColWidth="11.5" defaultRowHeight="13" x14ac:dyDescent="0.15"/>
  <cols>
    <col min="1" max="1" width="20.6640625" style="2" bestFit="1" customWidth="1"/>
    <col min="2" max="2" width="8.33203125" style="2" bestFit="1" customWidth="1"/>
    <col min="3" max="3" width="9.33203125" style="2" bestFit="1" customWidth="1"/>
    <col min="4" max="4" width="8.5" style="2" bestFit="1" customWidth="1"/>
    <col min="5" max="5" width="9.33203125" style="2" bestFit="1" customWidth="1"/>
    <col min="6" max="6" width="7.6640625" style="2" bestFit="1" customWidth="1"/>
    <col min="7" max="7" width="8.83203125" style="2" bestFit="1" customWidth="1"/>
    <col min="8" max="16384" width="11.5" style="2"/>
  </cols>
  <sheetData>
    <row r="1" spans="1:8" ht="19" x14ac:dyDescent="0.25">
      <c r="A1" s="3" t="s">
        <v>18</v>
      </c>
      <c r="F1" s="2" t="s">
        <v>1</v>
      </c>
    </row>
    <row r="2" spans="1:8" x14ac:dyDescent="0.15">
      <c r="A2" s="1" t="s">
        <v>0</v>
      </c>
    </row>
    <row r="3" spans="1:8" x14ac:dyDescent="0.15">
      <c r="C3" s="4"/>
    </row>
    <row r="6" spans="1:8" ht="14" x14ac:dyDescent="0.2">
      <c r="B6" s="5"/>
      <c r="C6" s="6" t="s">
        <v>2</v>
      </c>
      <c r="D6" s="5"/>
      <c r="E6" s="6" t="s">
        <v>3</v>
      </c>
      <c r="G6" s="7" t="s">
        <v>4</v>
      </c>
    </row>
    <row r="7" spans="1:8" ht="14" x14ac:dyDescent="0.2">
      <c r="A7" s="7" t="s">
        <v>5</v>
      </c>
      <c r="B7" s="5"/>
      <c r="C7" s="5" t="s">
        <v>6</v>
      </c>
      <c r="D7" s="5" t="s">
        <v>7</v>
      </c>
      <c r="E7" s="5" t="s">
        <v>8</v>
      </c>
      <c r="G7" s="5" t="s">
        <v>9</v>
      </c>
    </row>
    <row r="8" spans="1:8" x14ac:dyDescent="0.15">
      <c r="B8" s="5" t="s">
        <v>10</v>
      </c>
      <c r="C8" s="11">
        <v>0.08</v>
      </c>
      <c r="D8" s="11">
        <v>0.2</v>
      </c>
      <c r="E8" s="12">
        <v>0.33329999999999999</v>
      </c>
      <c r="G8" s="5">
        <f>PFReturn(E8:E10,C8:C10)</f>
        <v>0</v>
      </c>
      <c r="H8" s="9"/>
    </row>
    <row r="9" spans="1:8" x14ac:dyDescent="0.15">
      <c r="B9" s="5" t="s">
        <v>11</v>
      </c>
      <c r="C9" s="11">
        <v>0.15</v>
      </c>
      <c r="D9" s="11">
        <v>0.05</v>
      </c>
      <c r="E9" s="12">
        <v>0.33329999999999999</v>
      </c>
      <c r="G9" s="4"/>
    </row>
    <row r="10" spans="1:8" x14ac:dyDescent="0.15">
      <c r="B10" s="5" t="s">
        <v>12</v>
      </c>
      <c r="C10" s="11">
        <v>0.05</v>
      </c>
      <c r="D10" s="11">
        <v>0.01</v>
      </c>
      <c r="E10" s="12">
        <v>0.33329999999999999</v>
      </c>
      <c r="G10" s="4"/>
      <c r="H10" s="9"/>
    </row>
    <row r="11" spans="1:8" x14ac:dyDescent="0.15">
      <c r="B11" s="5"/>
      <c r="C11" s="5"/>
      <c r="D11" s="5"/>
      <c r="E11" s="8">
        <f>SUM(E8:E10)</f>
        <v>0.99990000000000001</v>
      </c>
    </row>
    <row r="13" spans="1:8" x14ac:dyDescent="0.15">
      <c r="B13" s="15"/>
      <c r="C13" s="14" t="s">
        <v>19</v>
      </c>
      <c r="D13" s="14" t="s">
        <v>20</v>
      </c>
      <c r="E13" s="14" t="s">
        <v>21</v>
      </c>
      <c r="G13" s="2" t="s">
        <v>1</v>
      </c>
    </row>
    <row r="14" spans="1:8" ht="14" x14ac:dyDescent="0.2">
      <c r="A14" s="7" t="s">
        <v>13</v>
      </c>
      <c r="B14" s="14" t="s">
        <v>19</v>
      </c>
      <c r="C14" s="5">
        <v>1</v>
      </c>
      <c r="D14" s="5">
        <f>C15</f>
        <v>0.5</v>
      </c>
      <c r="E14" s="5">
        <f>C16</f>
        <v>-0.2</v>
      </c>
    </row>
    <row r="15" spans="1:8" x14ac:dyDescent="0.15">
      <c r="B15" s="14" t="s">
        <v>20</v>
      </c>
      <c r="C15" s="13">
        <v>0.5</v>
      </c>
      <c r="D15" s="5">
        <v>1</v>
      </c>
      <c r="E15" s="5">
        <f>D16</f>
        <v>-0.1</v>
      </c>
    </row>
    <row r="16" spans="1:8" x14ac:dyDescent="0.15">
      <c r="B16" s="14" t="s">
        <v>21</v>
      </c>
      <c r="C16" s="13">
        <v>-0.2</v>
      </c>
      <c r="D16" s="13">
        <v>-0.1</v>
      </c>
      <c r="E16" s="5">
        <v>1</v>
      </c>
    </row>
    <row r="19" spans="1:8" ht="14" x14ac:dyDescent="0.2">
      <c r="A19" s="7" t="s">
        <v>14</v>
      </c>
      <c r="B19" s="5"/>
      <c r="C19" s="5" t="s">
        <v>10</v>
      </c>
      <c r="D19" s="5" t="s">
        <v>11</v>
      </c>
      <c r="E19" s="5" t="s">
        <v>12</v>
      </c>
      <c r="G19" s="2" t="s">
        <v>1</v>
      </c>
    </row>
    <row r="20" spans="1:8" x14ac:dyDescent="0.15">
      <c r="B20" s="5" t="s">
        <v>10</v>
      </c>
      <c r="C20" s="5">
        <f>D8^2</f>
        <v>4.0000000000000008E-2</v>
      </c>
      <c r="D20" s="5">
        <f>C21</f>
        <v>5.000000000000001E-3</v>
      </c>
      <c r="E20" s="5">
        <f>C22</f>
        <v>-4.0000000000000002E-4</v>
      </c>
      <c r="G20" s="2" t="s">
        <v>15</v>
      </c>
    </row>
    <row r="21" spans="1:8" ht="15" x14ac:dyDescent="0.15">
      <c r="B21" s="5" t="s">
        <v>11</v>
      </c>
      <c r="C21" s="13">
        <f>D8*D9*C15</f>
        <v>5.000000000000001E-3</v>
      </c>
      <c r="D21" s="5">
        <f>D9^2</f>
        <v>2.5000000000000005E-3</v>
      </c>
      <c r="E21" s="5">
        <f>D22</f>
        <v>-5.0000000000000002E-5</v>
      </c>
      <c r="G21" s="14" t="s">
        <v>22</v>
      </c>
    </row>
    <row r="22" spans="1:8" x14ac:dyDescent="0.15">
      <c r="B22" s="5" t="s">
        <v>12</v>
      </c>
      <c r="C22" s="13">
        <f>D8*D10*C16</f>
        <v>-4.0000000000000002E-4</v>
      </c>
      <c r="D22" s="13">
        <f>D9*D10*D16</f>
        <v>-5.0000000000000002E-5</v>
      </c>
      <c r="E22" s="5">
        <f>D10^2</f>
        <v>1E-4</v>
      </c>
      <c r="G22" s="5">
        <f>PFVariance(E8:E10,C20:E22)</f>
        <v>0</v>
      </c>
      <c r="H22" s="9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Overview</vt:lpstr>
      <vt:lpstr>Example1</vt:lpstr>
      <vt:lpstr>Example2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Michal stachnio</cp:lastModifiedBy>
  <cp:lastPrinted>2013-09-13T12:52:03Z</cp:lastPrinted>
  <dcterms:created xsi:type="dcterms:W3CDTF">1996-10-17T05:27:31Z</dcterms:created>
  <dcterms:modified xsi:type="dcterms:W3CDTF">2018-03-05T08:44:28Z</dcterms:modified>
</cp:coreProperties>
</file>