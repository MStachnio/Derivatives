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021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/Users/Michal/Dropbox/UNISG/12. Derivatives/1. Modelling/3. Exercise/"/>
    </mc:Choice>
  </mc:AlternateContent>
  <bookViews>
    <workbookView xWindow="120" yWindow="460" windowWidth="27420" windowHeight="16480" xr2:uid="{00000000-000D-0000-FFFF-FFFF00000000}"/>
  </bookViews>
  <sheets>
    <sheet name="Overview" sheetId="2" r:id="rId1"/>
  </sheets>
  <functionGroups builtInGroupCount="19"/>
  <calcPr calcId="171027"/>
</workbook>
</file>

<file path=xl/calcChain.xml><?xml version="1.0" encoding="utf-8"?>
<calcChain xmlns="http://schemas.openxmlformats.org/spreadsheetml/2006/main">
  <c r="B32" i="2" l="1"/>
  <c r="B30" i="2"/>
  <c r="B35" i="2"/>
  <c r="B21" i="2"/>
  <c r="B19" i="2"/>
  <c r="B37" i="2"/>
</calcChain>
</file>

<file path=xl/sharedStrings.xml><?xml version="1.0" encoding="utf-8"?>
<sst xmlns="http://schemas.openxmlformats.org/spreadsheetml/2006/main" count="24" uniqueCount="16">
  <si>
    <t>For VBA code see Macro Editor (Alt+F11)</t>
  </si>
  <si>
    <t>Exercise: Binomial Model</t>
  </si>
  <si>
    <t>Price</t>
  </si>
  <si>
    <t>Volatility</t>
  </si>
  <si>
    <t>Interest Rate (rate)</t>
  </si>
  <si>
    <t>Time</t>
  </si>
  <si>
    <t>Dividend yield (yield)</t>
  </si>
  <si>
    <t>Precision</t>
  </si>
  <si>
    <t>American call</t>
  </si>
  <si>
    <t>Strike</t>
  </si>
  <si>
    <t>Dividend (div)</t>
  </si>
  <si>
    <t>Ex-dividend dates</t>
  </si>
  <si>
    <t>American put</t>
  </si>
  <si>
    <t>2. Binomial Model - American Call and Put Options - Discrete Dividends</t>
  </si>
  <si>
    <t>1. Binomial Model - American Call and Put Options - Continuous Dividend Yield</t>
  </si>
  <si>
    <t>Prof. Dr. Manuel Ammann | Spring 2018 | University of St. Gallen 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</si>
</sst>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5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20"/>
      <color indexed="8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4" fillId="0" borderId="0" xfId="0" applyFont="1" applyBorder="1"/>
    <xf numFmtId="0" fontId="0" fillId="0" borderId="0" xfId="0" applyBorder="1"/>
    <xf numFmtId="0" fontId="2" fillId="0" borderId="0" xfId="0" applyFont="1" applyBorder="1"/>
    <xf numFmtId="0" fontId="2" fillId="0" borderId="0" xfId="0" applyFont="1"/>
    <xf numFmtId="0" fontId="3" fillId="0" borderId="0" xfId="0" applyFont="1"/>
    <xf numFmtId="0" fontId="3" fillId="2" borderId="0" xfId="0" applyFont="1" applyFill="1"/>
    <xf numFmtId="0" fontId="0" fillId="2" borderId="0" xfId="0" applyFill="1"/>
    <xf numFmtId="164" fontId="0" fillId="0" borderId="0" xfId="0" applyNumberFormat="1"/>
    <xf numFmtId="165" fontId="0" fillId="3" borderId="0" xfId="0" applyNumberFormat="1" applyFill="1"/>
    <xf numFmtId="0" fontId="2" fillId="0" borderId="0" xfId="0" quotePrefix="1" applyFont="1"/>
    <xf numFmtId="165" fontId="0" fillId="0" borderId="0" xfId="0" applyNumberFormat="1" applyFill="1"/>
    <xf numFmtId="0" fontId="0" fillId="0" borderId="0" xfId="0" applyFill="1"/>
    <xf numFmtId="0" fontId="3" fillId="0" borderId="0" xfId="0" applyFont="1" applyFill="1"/>
    <xf numFmtId="0" fontId="2" fillId="0" borderId="0" xfId="0" applyFont="1" applyFill="1"/>
    <xf numFmtId="164" fontId="0" fillId="0" borderId="0" xfId="0" applyNumberFormat="1" applyFill="1"/>
    <xf numFmtId="0" fontId="2" fillId="0" borderId="0" xfId="0" quotePrefix="1" applyFont="1" applyFill="1"/>
    <xf numFmtId="1" fontId="0" fillId="0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/>
  <dimension ref="A1:G58"/>
  <sheetViews>
    <sheetView showGridLines="0" tabSelected="1" workbookViewId="0">
      <selection activeCell="E8" sqref="E8"/>
    </sheetView>
  </sheetViews>
  <sheetFormatPr baseColWidth="10" defaultColWidth="11.5" defaultRowHeight="13" x14ac:dyDescent="0.15"/>
  <cols>
    <col min="1" max="1" width="27.33203125" customWidth="1"/>
  </cols>
  <sheetData>
    <row r="1" spans="1:7" ht="26" x14ac:dyDescent="0.3">
      <c r="A1" s="1" t="s">
        <v>1</v>
      </c>
      <c r="B1" s="2"/>
    </row>
    <row r="2" spans="1:7" x14ac:dyDescent="0.15">
      <c r="A2" s="3" t="s">
        <v>15</v>
      </c>
      <c r="B2" s="2"/>
    </row>
    <row r="3" spans="1:7" x14ac:dyDescent="0.15">
      <c r="A3" s="2"/>
      <c r="B3" s="2"/>
    </row>
    <row r="4" spans="1:7" x14ac:dyDescent="0.15">
      <c r="A4" s="2"/>
      <c r="B4" s="2"/>
    </row>
    <row r="5" spans="1:7" x14ac:dyDescent="0.15">
      <c r="A5" s="2"/>
      <c r="B5" s="2"/>
    </row>
    <row r="6" spans="1:7" x14ac:dyDescent="0.15">
      <c r="A6" s="2" t="s">
        <v>0</v>
      </c>
      <c r="B6" s="2"/>
    </row>
    <row r="9" spans="1:7" x14ac:dyDescent="0.15">
      <c r="A9" s="6" t="s">
        <v>14</v>
      </c>
      <c r="B9" s="6"/>
      <c r="C9" s="6"/>
      <c r="D9" s="6"/>
      <c r="E9" s="6"/>
      <c r="F9" s="6"/>
      <c r="G9" s="6"/>
    </row>
    <row r="11" spans="1:7" x14ac:dyDescent="0.15">
      <c r="A11" s="4" t="s">
        <v>2</v>
      </c>
      <c r="B11">
        <v>120</v>
      </c>
    </row>
    <row r="12" spans="1:7" x14ac:dyDescent="0.15">
      <c r="A12" s="4" t="s">
        <v>9</v>
      </c>
      <c r="B12">
        <v>100</v>
      </c>
    </row>
    <row r="13" spans="1:7" x14ac:dyDescent="0.15">
      <c r="A13" s="4" t="s">
        <v>3</v>
      </c>
      <c r="B13">
        <v>0.3</v>
      </c>
    </row>
    <row r="14" spans="1:7" x14ac:dyDescent="0.15">
      <c r="A14" s="4" t="s">
        <v>4</v>
      </c>
      <c r="B14">
        <v>0.02</v>
      </c>
    </row>
    <row r="15" spans="1:7" x14ac:dyDescent="0.15">
      <c r="A15" s="4" t="s">
        <v>5</v>
      </c>
      <c r="B15">
        <v>1</v>
      </c>
    </row>
    <row r="16" spans="1:7" x14ac:dyDescent="0.15">
      <c r="A16" s="4" t="s">
        <v>6</v>
      </c>
      <c r="B16">
        <v>0.01</v>
      </c>
    </row>
    <row r="17" spans="1:7" x14ac:dyDescent="0.15">
      <c r="A17" s="4" t="s">
        <v>7</v>
      </c>
      <c r="B17">
        <v>10</v>
      </c>
    </row>
    <row r="19" spans="1:7" x14ac:dyDescent="0.15">
      <c r="A19" s="5" t="s">
        <v>8</v>
      </c>
      <c r="B19" s="9">
        <f>amopt(B11,B12,B13,B14,B15,B16,1,B17)</f>
        <v>0</v>
      </c>
    </row>
    <row r="20" spans="1:7" x14ac:dyDescent="0.15">
      <c r="A20" s="5"/>
      <c r="B20" s="11"/>
    </row>
    <row r="21" spans="1:7" x14ac:dyDescent="0.15">
      <c r="A21" s="5" t="s">
        <v>12</v>
      </c>
      <c r="B21" s="9">
        <f>amopt(B11,B12,B13,B14,B15,B16,-1,B17)</f>
        <v>0</v>
      </c>
    </row>
    <row r="24" spans="1:7" x14ac:dyDescent="0.15">
      <c r="A24" s="6" t="s">
        <v>13</v>
      </c>
      <c r="B24" s="7"/>
      <c r="C24" s="7"/>
      <c r="D24" s="6"/>
      <c r="E24" s="6"/>
      <c r="F24" s="6"/>
      <c r="G24" s="6"/>
    </row>
    <row r="26" spans="1:7" x14ac:dyDescent="0.15">
      <c r="A26" s="4" t="s">
        <v>2</v>
      </c>
      <c r="B26">
        <v>52</v>
      </c>
      <c r="D26" s="8"/>
    </row>
    <row r="27" spans="1:7" x14ac:dyDescent="0.15">
      <c r="A27" s="4" t="s">
        <v>9</v>
      </c>
      <c r="B27">
        <v>50</v>
      </c>
      <c r="D27" s="8"/>
    </row>
    <row r="28" spans="1:7" x14ac:dyDescent="0.15">
      <c r="A28" s="4" t="s">
        <v>3</v>
      </c>
      <c r="B28">
        <v>0.4</v>
      </c>
      <c r="D28" s="8"/>
    </row>
    <row r="29" spans="1:7" x14ac:dyDescent="0.15">
      <c r="A29" s="4" t="s">
        <v>4</v>
      </c>
      <c r="B29">
        <v>0.1</v>
      </c>
      <c r="F29" s="10"/>
    </row>
    <row r="30" spans="1:7" x14ac:dyDescent="0.15">
      <c r="A30" s="4" t="s">
        <v>5</v>
      </c>
      <c r="B30" s="8">
        <f>5/12</f>
        <v>0.41666666666666669</v>
      </c>
    </row>
    <row r="31" spans="1:7" x14ac:dyDescent="0.15">
      <c r="A31" s="4" t="s">
        <v>10</v>
      </c>
      <c r="B31">
        <v>2.06</v>
      </c>
    </row>
    <row r="32" spans="1:7" x14ac:dyDescent="0.15">
      <c r="A32" s="4" t="s">
        <v>11</v>
      </c>
      <c r="B32" s="8">
        <f>3.5/12</f>
        <v>0.29166666666666669</v>
      </c>
      <c r="C32" s="8"/>
      <c r="D32" s="8"/>
      <c r="E32" s="8"/>
      <c r="F32" s="8"/>
    </row>
    <row r="33" spans="1:7" x14ac:dyDescent="0.15">
      <c r="A33" s="4" t="s">
        <v>7</v>
      </c>
      <c r="B33">
        <v>5</v>
      </c>
    </row>
    <row r="35" spans="1:7" x14ac:dyDescent="0.15">
      <c r="A35" s="5" t="s">
        <v>8</v>
      </c>
      <c r="B35" s="9">
        <f>AmOptDiv(B26,B27,B28,B29,B30,B31,B32,1,B33)</f>
        <v>0</v>
      </c>
    </row>
    <row r="36" spans="1:7" x14ac:dyDescent="0.15">
      <c r="A36" s="5"/>
    </row>
    <row r="37" spans="1:7" x14ac:dyDescent="0.15">
      <c r="A37" s="5" t="s">
        <v>12</v>
      </c>
      <c r="B37" s="9">
        <f>AmOptDiv(B26,B27,B28,B29,B30,B31,B32,-1,B33)</f>
        <v>0</v>
      </c>
    </row>
    <row r="38" spans="1:7" x14ac:dyDescent="0.15">
      <c r="A38" s="12"/>
      <c r="B38" s="12"/>
      <c r="C38" s="12"/>
      <c r="D38" s="12"/>
      <c r="E38" s="12"/>
      <c r="F38" s="12"/>
      <c r="G38" s="12"/>
    </row>
    <row r="39" spans="1:7" x14ac:dyDescent="0.15">
      <c r="A39" s="12"/>
      <c r="B39" s="12"/>
      <c r="C39" s="12"/>
      <c r="D39" s="12"/>
      <c r="E39" s="12"/>
      <c r="F39" s="12"/>
      <c r="G39" s="12"/>
    </row>
    <row r="40" spans="1:7" x14ac:dyDescent="0.15">
      <c r="A40" s="13"/>
      <c r="B40" s="12"/>
      <c r="C40" s="12"/>
      <c r="D40" s="13"/>
      <c r="E40" s="12"/>
      <c r="F40" s="12"/>
      <c r="G40" s="12"/>
    </row>
    <row r="41" spans="1:7" x14ac:dyDescent="0.15">
      <c r="A41" s="12"/>
      <c r="B41" s="12"/>
      <c r="C41" s="12"/>
      <c r="D41" s="12"/>
      <c r="E41" s="12"/>
      <c r="F41" s="12"/>
      <c r="G41" s="12"/>
    </row>
    <row r="42" spans="1:7" x14ac:dyDescent="0.15">
      <c r="A42" s="14"/>
      <c r="B42" s="12"/>
      <c r="C42" s="12"/>
      <c r="D42" s="15"/>
      <c r="E42" s="12"/>
      <c r="F42" s="12"/>
      <c r="G42" s="12"/>
    </row>
    <row r="43" spans="1:7" x14ac:dyDescent="0.15">
      <c r="A43" s="14"/>
      <c r="B43" s="12"/>
      <c r="C43" s="12"/>
      <c r="D43" s="15"/>
      <c r="E43" s="12"/>
      <c r="F43" s="12"/>
      <c r="G43" s="12"/>
    </row>
    <row r="44" spans="1:7" x14ac:dyDescent="0.15">
      <c r="A44" s="14"/>
      <c r="B44" s="12"/>
      <c r="C44" s="12"/>
      <c r="D44" s="15"/>
      <c r="E44" s="12"/>
      <c r="F44" s="12"/>
      <c r="G44" s="12"/>
    </row>
    <row r="45" spans="1:7" x14ac:dyDescent="0.15">
      <c r="A45" s="14"/>
      <c r="B45" s="12"/>
      <c r="C45" s="12"/>
      <c r="D45" s="12"/>
      <c r="E45" s="12"/>
      <c r="F45" s="16"/>
      <c r="G45" s="12"/>
    </row>
    <row r="46" spans="1:7" x14ac:dyDescent="0.15">
      <c r="A46" s="14"/>
      <c r="B46" s="17"/>
      <c r="C46" s="12"/>
      <c r="D46" s="12"/>
      <c r="E46" s="12"/>
      <c r="F46" s="12"/>
      <c r="G46" s="12"/>
    </row>
    <row r="47" spans="1:7" x14ac:dyDescent="0.15">
      <c r="A47" s="14"/>
      <c r="B47" s="12"/>
      <c r="C47" s="17"/>
      <c r="D47" s="12"/>
      <c r="E47" s="12"/>
      <c r="F47" s="12"/>
      <c r="G47" s="12"/>
    </row>
    <row r="48" spans="1:7" x14ac:dyDescent="0.15">
      <c r="A48" s="14"/>
      <c r="B48" s="15"/>
      <c r="C48" s="15"/>
      <c r="D48" s="15"/>
      <c r="E48" s="15"/>
      <c r="F48" s="15"/>
      <c r="G48" s="12"/>
    </row>
    <row r="49" spans="1:7" x14ac:dyDescent="0.15">
      <c r="A49" s="14"/>
      <c r="B49" s="12"/>
      <c r="C49" s="12"/>
      <c r="D49" s="12"/>
      <c r="E49" s="12"/>
      <c r="F49" s="12"/>
      <c r="G49" s="12"/>
    </row>
    <row r="50" spans="1:7" x14ac:dyDescent="0.15">
      <c r="A50" s="14"/>
      <c r="B50" s="12"/>
      <c r="C50" s="12"/>
      <c r="D50" s="12"/>
      <c r="E50" s="12"/>
      <c r="F50" s="12"/>
      <c r="G50" s="12"/>
    </row>
    <row r="51" spans="1:7" x14ac:dyDescent="0.15">
      <c r="A51" s="12"/>
      <c r="B51" s="12"/>
      <c r="C51" s="12"/>
      <c r="D51" s="12"/>
      <c r="E51" s="12"/>
      <c r="F51" s="12"/>
      <c r="G51" s="12"/>
    </row>
    <row r="52" spans="1:7" x14ac:dyDescent="0.15">
      <c r="A52" s="12"/>
      <c r="B52" s="12"/>
      <c r="C52" s="12"/>
      <c r="D52" s="12"/>
      <c r="E52" s="12"/>
      <c r="F52" s="12"/>
      <c r="G52" s="12"/>
    </row>
    <row r="53" spans="1:7" x14ac:dyDescent="0.15">
      <c r="A53" s="13"/>
      <c r="B53" s="11"/>
      <c r="C53" s="12"/>
      <c r="D53" s="12"/>
      <c r="E53" s="12"/>
      <c r="F53" s="12"/>
      <c r="G53" s="12"/>
    </row>
    <row r="54" spans="1:7" x14ac:dyDescent="0.15">
      <c r="A54" s="13"/>
      <c r="B54" s="12"/>
      <c r="C54" s="12"/>
      <c r="D54" s="12"/>
      <c r="E54" s="12"/>
      <c r="F54" s="12"/>
      <c r="G54" s="12"/>
    </row>
    <row r="55" spans="1:7" x14ac:dyDescent="0.15">
      <c r="A55" s="13"/>
      <c r="B55" s="11"/>
      <c r="C55" s="12"/>
      <c r="D55" s="12"/>
      <c r="E55" s="12"/>
      <c r="F55" s="12"/>
      <c r="G55" s="12"/>
    </row>
    <row r="56" spans="1:7" x14ac:dyDescent="0.15">
      <c r="A56" s="12"/>
      <c r="B56" s="12"/>
      <c r="C56" s="12"/>
      <c r="D56" s="12"/>
      <c r="E56" s="12"/>
      <c r="F56" s="12"/>
      <c r="G56" s="12"/>
    </row>
    <row r="57" spans="1:7" x14ac:dyDescent="0.15">
      <c r="A57" s="12"/>
      <c r="B57" s="11"/>
      <c r="C57" s="12"/>
      <c r="D57" s="12"/>
      <c r="E57" s="12"/>
      <c r="F57" s="12"/>
      <c r="G57" s="12"/>
    </row>
    <row r="58" spans="1:7" x14ac:dyDescent="0.15">
      <c r="A58" s="12"/>
      <c r="B58" s="12"/>
      <c r="C58" s="12"/>
      <c r="D58" s="12"/>
      <c r="E58" s="12"/>
      <c r="F58" s="12"/>
      <c r="G58" s="12"/>
    </row>
  </sheetData>
  <phoneticPr fontId="1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Overview</vt:lpstr>
    </vt:vector>
  </TitlesOfParts>
  <Company>University of St. Gallen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HSG-Dozent</dc:creator>
  <cp:lastModifiedBy>Michal stachnio</cp:lastModifiedBy>
  <cp:lastPrinted>2010-09-29T07:09:59Z</cp:lastPrinted>
  <dcterms:created xsi:type="dcterms:W3CDTF">2003-11-28T11:27:25Z</dcterms:created>
  <dcterms:modified xsi:type="dcterms:W3CDTF">2018-03-12T07:28:27Z</dcterms:modified>
</cp:coreProperties>
</file>